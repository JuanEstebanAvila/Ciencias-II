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8_{DEF8245B-F633-4A73-BC80-0E501E67036B}" xr6:coauthVersionLast="47" xr6:coauthVersionMax="47" xr10:uidLastSave="{00000000-0000-0000-0000-000000000000}"/>
  <bookViews>
    <workbookView xWindow="-120" yWindow="-120" windowWidth="29040" windowHeight="15720" xr2:uid="{0F4D111A-408D-4552-93EF-7FE5D2A116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3" i="1"/>
  <c r="F4" i="1"/>
  <c r="F8" i="1"/>
  <c r="F18" i="1"/>
  <c r="F21" i="1"/>
  <c r="F24" i="1"/>
  <c r="F34" i="1"/>
  <c r="F37" i="1"/>
  <c r="F40" i="1"/>
  <c r="F50" i="1"/>
  <c r="E6" i="1"/>
  <c r="F6" i="1" s="1"/>
  <c r="E4" i="1"/>
  <c r="E5" i="1"/>
  <c r="F5" i="1" s="1"/>
  <c r="E7" i="1"/>
  <c r="F7" i="1" s="1"/>
  <c r="E8" i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E19" i="1"/>
  <c r="F19" i="1" s="1"/>
  <c r="E20" i="1"/>
  <c r="F20" i="1" s="1"/>
  <c r="E21" i="1"/>
  <c r="E22" i="1"/>
  <c r="F22" i="1" s="1"/>
  <c r="E23" i="1"/>
  <c r="F23" i="1" s="1"/>
  <c r="E24" i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E35" i="1"/>
  <c r="F35" i="1" s="1"/>
  <c r="E36" i="1"/>
  <c r="F36" i="1" s="1"/>
  <c r="E37" i="1"/>
  <c r="E38" i="1"/>
  <c r="F38" i="1" s="1"/>
  <c r="E39" i="1"/>
  <c r="F39" i="1" s="1"/>
  <c r="E40" i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E51" i="1"/>
  <c r="F51" i="1" s="1"/>
  <c r="E3" i="1"/>
  <c r="F3" i="1" s="1"/>
  <c r="D5" i="1"/>
  <c r="D15" i="1"/>
  <c r="D18" i="1"/>
  <c r="D21" i="1"/>
  <c r="D31" i="1"/>
  <c r="D34" i="1"/>
  <c r="D37" i="1"/>
  <c r="D47" i="1"/>
  <c r="D50" i="1"/>
  <c r="B4" i="1"/>
  <c r="D4" i="1" s="1"/>
  <c r="B5" i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B12" i="1"/>
  <c r="D12" i="1" s="1"/>
  <c r="B13" i="1"/>
  <c r="D13" i="1" s="1"/>
  <c r="B14" i="1"/>
  <c r="D14" i="1" s="1"/>
  <c r="B15" i="1"/>
  <c r="B16" i="1"/>
  <c r="D16" i="1" s="1"/>
  <c r="B17" i="1"/>
  <c r="D17" i="1" s="1"/>
  <c r="B18" i="1"/>
  <c r="B19" i="1"/>
  <c r="D19" i="1" s="1"/>
  <c r="B20" i="1"/>
  <c r="D20" i="1" s="1"/>
  <c r="B21" i="1"/>
  <c r="B22" i="1"/>
  <c r="D22" i="1" s="1"/>
  <c r="B23" i="1"/>
  <c r="D23" i="1" s="1"/>
  <c r="B24" i="1"/>
  <c r="D24" i="1" s="1"/>
  <c r="B25" i="1"/>
  <c r="D25" i="1" s="1"/>
  <c r="B26" i="1"/>
  <c r="D26" i="1" s="1"/>
  <c r="B27" i="1"/>
  <c r="D27" i="1" s="1"/>
  <c r="B28" i="1"/>
  <c r="D28" i="1" s="1"/>
  <c r="B29" i="1"/>
  <c r="D29" i="1" s="1"/>
  <c r="B30" i="1"/>
  <c r="D30" i="1" s="1"/>
  <c r="B31" i="1"/>
  <c r="B32" i="1"/>
  <c r="D32" i="1" s="1"/>
  <c r="B33" i="1"/>
  <c r="D33" i="1" s="1"/>
  <c r="B34" i="1"/>
  <c r="B35" i="1"/>
  <c r="D35" i="1" s="1"/>
  <c r="B36" i="1"/>
  <c r="D36" i="1" s="1"/>
  <c r="B37" i="1"/>
  <c r="B38" i="1"/>
  <c r="D38" i="1" s="1"/>
  <c r="B39" i="1"/>
  <c r="D39" i="1" s="1"/>
  <c r="B40" i="1"/>
  <c r="D40" i="1" s="1"/>
  <c r="B41" i="1"/>
  <c r="D41" i="1" s="1"/>
  <c r="B42" i="1"/>
  <c r="D42" i="1" s="1"/>
  <c r="B43" i="1"/>
  <c r="D43" i="1" s="1"/>
  <c r="B44" i="1"/>
  <c r="D44" i="1" s="1"/>
  <c r="B45" i="1"/>
  <c r="D45" i="1" s="1"/>
  <c r="B46" i="1"/>
  <c r="D46" i="1" s="1"/>
  <c r="B47" i="1"/>
  <c r="B48" i="1"/>
  <c r="D48" i="1" s="1"/>
  <c r="B49" i="1"/>
  <c r="D49" i="1" s="1"/>
  <c r="B50" i="1"/>
  <c r="B51" i="1"/>
  <c r="D51" i="1" s="1"/>
  <c r="B3" i="1"/>
  <c r="D3" i="1" s="1"/>
</calcChain>
</file>

<file path=xl/sharedStrings.xml><?xml version="1.0" encoding="utf-8"?>
<sst xmlns="http://schemas.openxmlformats.org/spreadsheetml/2006/main" count="7" uniqueCount="7">
  <si>
    <t>M</t>
  </si>
  <si>
    <t>M^H</t>
  </si>
  <si>
    <t>Preguntas</t>
  </si>
  <si>
    <t>Preguntas(redon)</t>
  </si>
  <si>
    <t>Pasos</t>
  </si>
  <si>
    <t>H(aprox)</t>
  </si>
  <si>
    <t xml:space="preserve">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</si>
</sst>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9" fontId="0" fillId="0" borderId="0" xfId="0" applyNumberFormat="1"/>
    <xf numFmtId="1" fontId="0" fillId="0" borderId="0" xfId="0" applyNumberFormat="1"/>
    <xf numFmtId="0" fontId="0" fillId="2" borderId="0" xfId="0" applyFill="1"/>
    <xf numFmtId="169" fontId="0" fillId="2" borderId="0" xfId="0" applyNumberFormat="1" applyFill="1"/>
    <xf numFmtId="1" fontId="0" fillId="2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4759-839C-4F80-8A1E-B3C69345F345}">
  <dimension ref="A1:G51"/>
  <sheetViews>
    <sheetView tabSelected="1" workbookViewId="0">
      <selection activeCell="H6" sqref="H6"/>
    </sheetView>
  </sheetViews>
  <sheetFormatPr baseColWidth="10" defaultRowHeight="15" x14ac:dyDescent="0.25"/>
  <cols>
    <col min="2" max="3" width="12.5703125" bestFit="1" customWidth="1"/>
    <col min="5" max="6" width="16.5703125" bestFit="1" customWidth="1"/>
  </cols>
  <sheetData>
    <row r="1" spans="1:7" x14ac:dyDescent="0.25">
      <c r="A1" t="s">
        <v>0</v>
      </c>
      <c r="B1" t="s">
        <v>6</v>
      </c>
      <c r="C1" t="s">
        <v>5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>
        <v>1</v>
      </c>
    </row>
    <row r="3" spans="1:7" x14ac:dyDescent="0.25">
      <c r="A3">
        <v>2</v>
      </c>
      <c r="B3" s="1">
        <f>LOG(7352000,A3)</f>
        <v>22.809705335951122</v>
      </c>
      <c r="C3" s="1">
        <f>ROUNDUP(B3,0)</f>
        <v>23</v>
      </c>
      <c r="D3" s="2">
        <f>A3^ROUNDUP(B3,0)</f>
        <v>8388608</v>
      </c>
      <c r="E3">
        <f>LOG((A3),2)</f>
        <v>1</v>
      </c>
      <c r="F3">
        <f t="shared" ref="F3:F51" si="0">ROUNDUP(E3,0)</f>
        <v>1</v>
      </c>
      <c r="G3" s="6">
        <f>F3*C3</f>
        <v>23</v>
      </c>
    </row>
    <row r="4" spans="1:7" x14ac:dyDescent="0.25">
      <c r="A4">
        <v>3</v>
      </c>
      <c r="B4" s="1">
        <f t="shared" ref="B4:B51" si="1">LOG(7352000,A4)</f>
        <v>14.391321766649199</v>
      </c>
      <c r="C4" s="1">
        <f t="shared" ref="C4:C51" si="2">ROUNDUP(B4,0)</f>
        <v>15</v>
      </c>
      <c r="D4" s="2">
        <f>A4^ROUNDUP(B4,0)</f>
        <v>14348907</v>
      </c>
      <c r="E4">
        <f>LOG((A4),2)</f>
        <v>1.5849625007211563</v>
      </c>
      <c r="F4">
        <f t="shared" si="0"/>
        <v>2</v>
      </c>
      <c r="G4">
        <f t="shared" ref="G4:G51" si="3">F4*C4</f>
        <v>30</v>
      </c>
    </row>
    <row r="5" spans="1:7" x14ac:dyDescent="0.25">
      <c r="A5">
        <v>4</v>
      </c>
      <c r="B5" s="1">
        <f t="shared" si="1"/>
        <v>11.404852667975561</v>
      </c>
      <c r="C5" s="1">
        <f t="shared" si="2"/>
        <v>12</v>
      </c>
      <c r="D5" s="2">
        <f>A5^ROUNDUP(B5,0)</f>
        <v>16777216</v>
      </c>
      <c r="E5">
        <f>LOG((A5),2)</f>
        <v>2</v>
      </c>
      <c r="F5">
        <f t="shared" si="0"/>
        <v>2</v>
      </c>
      <c r="G5" s="6">
        <f t="shared" si="3"/>
        <v>24</v>
      </c>
    </row>
    <row r="6" spans="1:7" x14ac:dyDescent="0.25">
      <c r="A6">
        <v>5</v>
      </c>
      <c r="B6" s="1">
        <f t="shared" si="1"/>
        <v>9.8236053847557372</v>
      </c>
      <c r="C6" s="1">
        <f t="shared" si="2"/>
        <v>10</v>
      </c>
      <c r="D6" s="2">
        <f>A6^ROUNDUP(B6,0)</f>
        <v>9765625</v>
      </c>
      <c r="E6">
        <f>LOG((A6),2)</f>
        <v>2.3219280948873622</v>
      </c>
      <c r="F6">
        <f t="shared" si="0"/>
        <v>3</v>
      </c>
      <c r="G6">
        <f t="shared" si="3"/>
        <v>30</v>
      </c>
    </row>
    <row r="7" spans="1:7" x14ac:dyDescent="0.25">
      <c r="A7">
        <v>6</v>
      </c>
      <c r="B7" s="1">
        <f t="shared" si="1"/>
        <v>8.8239985414053947</v>
      </c>
      <c r="C7" s="1">
        <f t="shared" si="2"/>
        <v>9</v>
      </c>
      <c r="D7" s="2">
        <f>A7^ROUNDUP(B7,0)</f>
        <v>10077696</v>
      </c>
      <c r="E7">
        <f>LOG((A7),2)</f>
        <v>2.5849625007211561</v>
      </c>
      <c r="F7">
        <f t="shared" si="0"/>
        <v>3</v>
      </c>
      <c r="G7">
        <f t="shared" si="3"/>
        <v>27</v>
      </c>
    </row>
    <row r="8" spans="1:7" x14ac:dyDescent="0.25">
      <c r="A8">
        <v>7</v>
      </c>
      <c r="B8" s="1">
        <f t="shared" si="1"/>
        <v>8.1249809764819929</v>
      </c>
      <c r="C8" s="1">
        <f t="shared" si="2"/>
        <v>9</v>
      </c>
      <c r="D8" s="2">
        <f>A8^ROUNDUP(B8,0)</f>
        <v>40353607</v>
      </c>
      <c r="E8">
        <f>LOG((A8),2)</f>
        <v>2.8073549220576042</v>
      </c>
      <c r="F8">
        <f t="shared" si="0"/>
        <v>3</v>
      </c>
      <c r="G8">
        <f t="shared" si="3"/>
        <v>27</v>
      </c>
    </row>
    <row r="9" spans="1:7" x14ac:dyDescent="0.25">
      <c r="A9">
        <v>8</v>
      </c>
      <c r="B9" s="1">
        <f t="shared" si="1"/>
        <v>7.6032351119837083</v>
      </c>
      <c r="C9" s="1">
        <f t="shared" si="2"/>
        <v>8</v>
      </c>
      <c r="D9" s="2">
        <f>A9^ROUNDUP(B9,0)</f>
        <v>16777216</v>
      </c>
      <c r="E9">
        <f>LOG((A9),2)</f>
        <v>3</v>
      </c>
      <c r="F9">
        <f t="shared" si="0"/>
        <v>3</v>
      </c>
      <c r="G9" s="6">
        <f t="shared" si="3"/>
        <v>24</v>
      </c>
    </row>
    <row r="10" spans="1:7" x14ac:dyDescent="0.25">
      <c r="A10">
        <v>9</v>
      </c>
      <c r="B10" s="1">
        <f t="shared" si="1"/>
        <v>7.1956608833245994</v>
      </c>
      <c r="C10" s="1">
        <f t="shared" si="2"/>
        <v>8</v>
      </c>
      <c r="D10" s="2">
        <f>A10^ROUNDUP(B10,0)</f>
        <v>43046721</v>
      </c>
      <c r="E10">
        <f>LOG((A10),2)</f>
        <v>3.1699250014423126</v>
      </c>
      <c r="F10">
        <f t="shared" si="0"/>
        <v>4</v>
      </c>
      <c r="G10">
        <f t="shared" si="3"/>
        <v>32</v>
      </c>
    </row>
    <row r="11" spans="1:7" x14ac:dyDescent="0.25">
      <c r="A11">
        <v>10</v>
      </c>
      <c r="B11" s="1">
        <f t="shared" si="1"/>
        <v>6.8664054983780547</v>
      </c>
      <c r="C11" s="1">
        <f t="shared" si="2"/>
        <v>7</v>
      </c>
      <c r="D11" s="2">
        <f>A11^ROUNDUP(B11,0)</f>
        <v>10000000</v>
      </c>
      <c r="E11">
        <f>LOG((A11),2)</f>
        <v>3.3219280948873626</v>
      </c>
      <c r="F11">
        <f t="shared" si="0"/>
        <v>4</v>
      </c>
      <c r="G11">
        <f t="shared" si="3"/>
        <v>28</v>
      </c>
    </row>
    <row r="12" spans="1:7" x14ac:dyDescent="0.25">
      <c r="A12">
        <v>11</v>
      </c>
      <c r="B12" s="1">
        <f t="shared" si="1"/>
        <v>6.5934835112989107</v>
      </c>
      <c r="C12" s="1">
        <f t="shared" si="2"/>
        <v>7</v>
      </c>
      <c r="D12" s="2">
        <f>A12^ROUNDUP(B12,0)</f>
        <v>19487171</v>
      </c>
      <c r="E12">
        <f>LOG((A12),2)</f>
        <v>3.4594316186372978</v>
      </c>
      <c r="F12">
        <f t="shared" si="0"/>
        <v>4</v>
      </c>
      <c r="G12">
        <f t="shared" si="3"/>
        <v>28</v>
      </c>
    </row>
    <row r="13" spans="1:7" x14ac:dyDescent="0.25">
      <c r="A13">
        <v>12</v>
      </c>
      <c r="B13" s="1">
        <f t="shared" si="1"/>
        <v>6.3626063958444998</v>
      </c>
      <c r="C13" s="1">
        <f t="shared" si="2"/>
        <v>7</v>
      </c>
      <c r="D13" s="2">
        <f>A13^ROUNDUP(B13,0)</f>
        <v>35831808</v>
      </c>
      <c r="E13">
        <f>LOG((A13),2)</f>
        <v>3.5849625007211565</v>
      </c>
      <c r="F13">
        <f t="shared" si="0"/>
        <v>4</v>
      </c>
      <c r="G13">
        <f t="shared" si="3"/>
        <v>28</v>
      </c>
    </row>
    <row r="14" spans="1:7" x14ac:dyDescent="0.25">
      <c r="A14">
        <v>13</v>
      </c>
      <c r="B14" s="1">
        <f t="shared" si="1"/>
        <v>6.1640526730184186</v>
      </c>
      <c r="C14" s="1">
        <f t="shared" si="2"/>
        <v>7</v>
      </c>
      <c r="D14" s="2">
        <f>A14^ROUNDUP(B14,0)</f>
        <v>62748517</v>
      </c>
      <c r="E14">
        <f>LOG((A14),2)</f>
        <v>3.7004397181410922</v>
      </c>
      <c r="F14">
        <f t="shared" si="0"/>
        <v>4</v>
      </c>
      <c r="G14">
        <f t="shared" si="3"/>
        <v>28</v>
      </c>
    </row>
    <row r="15" spans="1:7" x14ac:dyDescent="0.25">
      <c r="A15" s="3">
        <v>14</v>
      </c>
      <c r="B15" s="4">
        <f t="shared" si="1"/>
        <v>5.9909585008229556</v>
      </c>
      <c r="C15" s="4">
        <f t="shared" si="2"/>
        <v>6</v>
      </c>
      <c r="D15" s="5">
        <f>A15^ROUNDUP(B15,0)</f>
        <v>7529536</v>
      </c>
      <c r="E15" s="3">
        <f>LOG((A15),2)</f>
        <v>3.8073549220576037</v>
      </c>
      <c r="F15" s="3">
        <f t="shared" si="0"/>
        <v>4</v>
      </c>
      <c r="G15" s="3">
        <f t="shared" si="3"/>
        <v>24</v>
      </c>
    </row>
    <row r="16" spans="1:7" x14ac:dyDescent="0.25">
      <c r="A16">
        <v>15</v>
      </c>
      <c r="B16" s="1">
        <f t="shared" si="1"/>
        <v>5.8383271242839578</v>
      </c>
      <c r="C16" s="1">
        <f t="shared" si="2"/>
        <v>6</v>
      </c>
      <c r="D16" s="2">
        <f>A16^ROUNDUP(B16,0)</f>
        <v>11390625</v>
      </c>
      <c r="E16">
        <f>LOG((A16),2)</f>
        <v>3.9068905956085187</v>
      </c>
      <c r="F16">
        <f t="shared" si="0"/>
        <v>4</v>
      </c>
      <c r="G16" s="6">
        <f t="shared" si="3"/>
        <v>24</v>
      </c>
    </row>
    <row r="17" spans="1:7" x14ac:dyDescent="0.25">
      <c r="A17">
        <v>16</v>
      </c>
      <c r="B17" s="1">
        <f t="shared" si="1"/>
        <v>5.7024263339877805</v>
      </c>
      <c r="C17" s="1">
        <f t="shared" si="2"/>
        <v>6</v>
      </c>
      <c r="D17" s="2">
        <f>A17^ROUNDUP(B17,0)</f>
        <v>16777216</v>
      </c>
      <c r="E17">
        <f>LOG((A17),2)</f>
        <v>4</v>
      </c>
      <c r="F17">
        <f t="shared" si="0"/>
        <v>4</v>
      </c>
      <c r="G17" s="6">
        <f t="shared" si="3"/>
        <v>24</v>
      </c>
    </row>
    <row r="18" spans="1:7" x14ac:dyDescent="0.25">
      <c r="A18">
        <v>17</v>
      </c>
      <c r="B18" s="1">
        <f t="shared" si="1"/>
        <v>5.5804067759974352</v>
      </c>
      <c r="C18" s="1">
        <f t="shared" si="2"/>
        <v>6</v>
      </c>
      <c r="D18" s="2">
        <f>A18^ROUNDUP(B18,0)</f>
        <v>24137569</v>
      </c>
      <c r="E18">
        <f>LOG((A18),2)</f>
        <v>4.08746284125034</v>
      </c>
      <c r="F18">
        <f t="shared" si="0"/>
        <v>5</v>
      </c>
      <c r="G18">
        <f t="shared" si="3"/>
        <v>30</v>
      </c>
    </row>
    <row r="19" spans="1:7" x14ac:dyDescent="0.25">
      <c r="A19">
        <v>18</v>
      </c>
      <c r="B19" s="1">
        <f t="shared" si="1"/>
        <v>5.4700516983067082</v>
      </c>
      <c r="C19" s="1">
        <f t="shared" si="2"/>
        <v>6</v>
      </c>
      <c r="D19" s="2">
        <f>A19^ROUNDUP(B19,0)</f>
        <v>34012224</v>
      </c>
      <c r="E19">
        <f>LOG((A19),2)</f>
        <v>4.1699250014423122</v>
      </c>
      <c r="F19">
        <f t="shared" si="0"/>
        <v>5</v>
      </c>
      <c r="G19">
        <f t="shared" si="3"/>
        <v>30</v>
      </c>
    </row>
    <row r="20" spans="1:7" x14ac:dyDescent="0.25">
      <c r="A20">
        <v>19</v>
      </c>
      <c r="B20" s="1">
        <f t="shared" si="1"/>
        <v>5.369607947349464</v>
      </c>
      <c r="C20" s="1">
        <f t="shared" si="2"/>
        <v>6</v>
      </c>
      <c r="D20" s="2">
        <f>A20^ROUNDUP(B20,0)</f>
        <v>47045881</v>
      </c>
      <c r="E20">
        <f>LOG((A20),2)</f>
        <v>4.2479275134435852</v>
      </c>
      <c r="F20">
        <f t="shared" si="0"/>
        <v>5</v>
      </c>
      <c r="G20">
        <f t="shared" si="3"/>
        <v>30</v>
      </c>
    </row>
    <row r="21" spans="1:7" x14ac:dyDescent="0.25">
      <c r="A21">
        <v>20</v>
      </c>
      <c r="B21" s="1">
        <f t="shared" si="1"/>
        <v>5.2776688633329956</v>
      </c>
      <c r="C21" s="1">
        <f t="shared" si="2"/>
        <v>6</v>
      </c>
      <c r="D21" s="2">
        <f>A21^ROUNDUP(B21,0)</f>
        <v>64000000</v>
      </c>
      <c r="E21">
        <f>LOG((A21),2)</f>
        <v>4.3219280948873626</v>
      </c>
      <c r="F21">
        <f t="shared" si="0"/>
        <v>5</v>
      </c>
      <c r="G21">
        <f t="shared" si="3"/>
        <v>30</v>
      </c>
    </row>
    <row r="22" spans="1:7" x14ac:dyDescent="0.25">
      <c r="A22">
        <v>21</v>
      </c>
      <c r="B22" s="1">
        <f t="shared" si="1"/>
        <v>5.1930912865402075</v>
      </c>
      <c r="C22" s="1">
        <f t="shared" si="2"/>
        <v>6</v>
      </c>
      <c r="D22" s="2">
        <f>A22^ROUNDUP(B22,0)</f>
        <v>85766121</v>
      </c>
      <c r="E22">
        <f>LOG((A22),2)</f>
        <v>4.3923174227787607</v>
      </c>
      <c r="F22">
        <f t="shared" si="0"/>
        <v>5</v>
      </c>
      <c r="G22">
        <f t="shared" si="3"/>
        <v>30</v>
      </c>
    </row>
    <row r="23" spans="1:7" x14ac:dyDescent="0.25">
      <c r="A23">
        <v>22</v>
      </c>
      <c r="B23" s="1">
        <f t="shared" si="1"/>
        <v>5.1149355538097154</v>
      </c>
      <c r="C23" s="1">
        <f t="shared" si="2"/>
        <v>6</v>
      </c>
      <c r="D23" s="2">
        <f>A23^ROUNDUP(B23,0)</f>
        <v>113379904</v>
      </c>
      <c r="E23">
        <f>LOG((A23),2)</f>
        <v>4.4594316186372973</v>
      </c>
      <c r="F23">
        <f t="shared" si="0"/>
        <v>5</v>
      </c>
      <c r="G23">
        <f t="shared" si="3"/>
        <v>30</v>
      </c>
    </row>
    <row r="24" spans="1:7" x14ac:dyDescent="0.25">
      <c r="A24">
        <v>23</v>
      </c>
      <c r="B24" s="1">
        <f t="shared" si="1"/>
        <v>5.0424213390974142</v>
      </c>
      <c r="C24" s="1">
        <f t="shared" si="2"/>
        <v>6</v>
      </c>
      <c r="D24" s="2">
        <f>A24^ROUNDUP(B24,0)</f>
        <v>148035889</v>
      </c>
      <c r="E24">
        <f>LOG((A24),2)</f>
        <v>4.5235619560570131</v>
      </c>
      <c r="F24">
        <f t="shared" si="0"/>
        <v>5</v>
      </c>
      <c r="G24">
        <f t="shared" si="3"/>
        <v>30</v>
      </c>
    </row>
    <row r="25" spans="1:7" x14ac:dyDescent="0.25">
      <c r="A25">
        <v>24</v>
      </c>
      <c r="B25" s="1">
        <f t="shared" si="1"/>
        <v>4.9748946326962207</v>
      </c>
      <c r="C25" s="1">
        <f t="shared" si="2"/>
        <v>5</v>
      </c>
      <c r="D25" s="2">
        <f>A25^ROUNDUP(B25,0)</f>
        <v>7962624</v>
      </c>
      <c r="E25">
        <f>LOG((A25),2)</f>
        <v>4.584962500721157</v>
      </c>
      <c r="F25">
        <f t="shared" si="0"/>
        <v>5</v>
      </c>
      <c r="G25">
        <f t="shared" si="3"/>
        <v>25</v>
      </c>
    </row>
    <row r="26" spans="1:7" x14ac:dyDescent="0.25">
      <c r="A26">
        <v>25</v>
      </c>
      <c r="B26" s="1">
        <f t="shared" si="1"/>
        <v>4.9118026923778686</v>
      </c>
      <c r="C26" s="1">
        <f t="shared" si="2"/>
        <v>5</v>
      </c>
      <c r="D26" s="2">
        <f>A26^ROUNDUP(B26,0)</f>
        <v>9765625</v>
      </c>
      <c r="E26">
        <f>LOG((A26),2)</f>
        <v>4.6438561897747244</v>
      </c>
      <c r="F26">
        <f t="shared" si="0"/>
        <v>5</v>
      </c>
      <c r="G26">
        <f t="shared" si="3"/>
        <v>25</v>
      </c>
    </row>
    <row r="27" spans="1:7" x14ac:dyDescent="0.25">
      <c r="A27">
        <v>26</v>
      </c>
      <c r="B27" s="1">
        <f t="shared" si="1"/>
        <v>4.8526747929386911</v>
      </c>
      <c r="C27" s="1">
        <f t="shared" si="2"/>
        <v>5</v>
      </c>
      <c r="D27" s="2">
        <f>A27^ROUNDUP(B27,0)</f>
        <v>11881376</v>
      </c>
      <c r="E27">
        <f>LOG((A27),2)</f>
        <v>4.7004397181410926</v>
      </c>
      <c r="F27">
        <f t="shared" si="0"/>
        <v>5</v>
      </c>
      <c r="G27">
        <f t="shared" si="3"/>
        <v>25</v>
      </c>
    </row>
    <row r="28" spans="1:7" x14ac:dyDescent="0.25">
      <c r="A28">
        <v>27</v>
      </c>
      <c r="B28" s="1">
        <f t="shared" si="1"/>
        <v>4.7971072555497329</v>
      </c>
      <c r="C28" s="1">
        <f t="shared" si="2"/>
        <v>5</v>
      </c>
      <c r="D28" s="2">
        <f>A28^ROUNDUP(B28,0)</f>
        <v>14348907</v>
      </c>
      <c r="E28">
        <f>LOG((A28),2)</f>
        <v>4.7548875021634691</v>
      </c>
      <c r="F28">
        <f t="shared" si="0"/>
        <v>5</v>
      </c>
      <c r="G28">
        <f t="shared" si="3"/>
        <v>25</v>
      </c>
    </row>
    <row r="29" spans="1:7" x14ac:dyDescent="0.25">
      <c r="A29">
        <v>28</v>
      </c>
      <c r="B29" s="1">
        <f t="shared" si="1"/>
        <v>4.7447516785776038</v>
      </c>
      <c r="C29" s="1">
        <f t="shared" si="2"/>
        <v>5</v>
      </c>
      <c r="D29" s="2">
        <f>A29^ROUNDUP(B29,0)</f>
        <v>17210368</v>
      </c>
      <c r="E29">
        <f>LOG((A29),2)</f>
        <v>4.8073549220576037</v>
      </c>
      <c r="F29">
        <f t="shared" si="0"/>
        <v>5</v>
      </c>
      <c r="G29">
        <f t="shared" si="3"/>
        <v>25</v>
      </c>
    </row>
    <row r="30" spans="1:7" x14ac:dyDescent="0.25">
      <c r="A30">
        <v>29</v>
      </c>
      <c r="B30" s="1">
        <f t="shared" si="1"/>
        <v>4.6953055927614082</v>
      </c>
      <c r="C30" s="1">
        <f t="shared" si="2"/>
        <v>5</v>
      </c>
      <c r="D30" s="2">
        <f>A30^ROUNDUP(B30,0)</f>
        <v>20511149</v>
      </c>
      <c r="E30">
        <f>LOG((A30),2)</f>
        <v>4.8579809951275728</v>
      </c>
      <c r="F30">
        <f t="shared" si="0"/>
        <v>5</v>
      </c>
      <c r="G30">
        <f t="shared" si="3"/>
        <v>25</v>
      </c>
    </row>
    <row r="31" spans="1:7" x14ac:dyDescent="0.25">
      <c r="A31">
        <v>30</v>
      </c>
      <c r="B31" s="1">
        <f t="shared" si="1"/>
        <v>4.6485049730607289</v>
      </c>
      <c r="C31" s="1">
        <f t="shared" si="2"/>
        <v>5</v>
      </c>
      <c r="D31" s="2">
        <f>A31^ROUNDUP(B31,0)</f>
        <v>24300000</v>
      </c>
      <c r="E31">
        <f>LOG((A31),2)</f>
        <v>4.9068905956085187</v>
      </c>
      <c r="F31">
        <f t="shared" si="0"/>
        <v>5</v>
      </c>
      <c r="G31">
        <f t="shared" si="3"/>
        <v>25</v>
      </c>
    </row>
    <row r="32" spans="1:7" x14ac:dyDescent="0.25">
      <c r="A32">
        <v>31</v>
      </c>
      <c r="B32" s="1">
        <f t="shared" si="1"/>
        <v>4.6041181872685835</v>
      </c>
      <c r="C32" s="1">
        <f t="shared" si="2"/>
        <v>5</v>
      </c>
      <c r="D32" s="2">
        <f>A32^ROUNDUP(B32,0)</f>
        <v>28629151</v>
      </c>
      <c r="E32">
        <f>LOG((A32),2)</f>
        <v>4.9541963103868758</v>
      </c>
      <c r="F32">
        <f t="shared" si="0"/>
        <v>5</v>
      </c>
      <c r="G32">
        <f t="shared" si="3"/>
        <v>25</v>
      </c>
    </row>
    <row r="33" spans="1:7" x14ac:dyDescent="0.25">
      <c r="A33">
        <v>32</v>
      </c>
      <c r="B33" s="1">
        <f t="shared" si="1"/>
        <v>4.561941067190225</v>
      </c>
      <c r="C33" s="1">
        <f t="shared" si="2"/>
        <v>5</v>
      </c>
      <c r="D33" s="2">
        <f>A33^ROUNDUP(B33,0)</f>
        <v>33554432</v>
      </c>
      <c r="E33">
        <f>LOG((A33),2)</f>
        <v>5</v>
      </c>
      <c r="F33">
        <f t="shared" si="0"/>
        <v>5</v>
      </c>
      <c r="G33">
        <f t="shared" si="3"/>
        <v>25</v>
      </c>
    </row>
    <row r="34" spans="1:7" x14ac:dyDescent="0.25">
      <c r="A34">
        <v>33</v>
      </c>
      <c r="B34" s="1">
        <f t="shared" si="1"/>
        <v>4.5217928647597549</v>
      </c>
      <c r="C34" s="1">
        <f t="shared" si="2"/>
        <v>5</v>
      </c>
      <c r="D34" s="2">
        <f>A34^ROUNDUP(B34,0)</f>
        <v>39135393</v>
      </c>
      <c r="E34">
        <f>LOG((A34),2)</f>
        <v>5.0443941193584534</v>
      </c>
      <c r="F34">
        <f t="shared" si="0"/>
        <v>6</v>
      </c>
      <c r="G34">
        <f t="shared" si="3"/>
        <v>30</v>
      </c>
    </row>
    <row r="35" spans="1:7" x14ac:dyDescent="0.25">
      <c r="A35">
        <v>34</v>
      </c>
      <c r="B35" s="1">
        <f t="shared" si="1"/>
        <v>4.4835129115842758</v>
      </c>
      <c r="C35" s="1">
        <f t="shared" si="2"/>
        <v>5</v>
      </c>
      <c r="D35" s="2">
        <f>A35^ROUNDUP(B35,0)</f>
        <v>45435424</v>
      </c>
      <c r="E35">
        <f>LOG((A35),2)</f>
        <v>5.08746284125034</v>
      </c>
      <c r="F35">
        <f t="shared" si="0"/>
        <v>6</v>
      </c>
      <c r="G35">
        <f t="shared" si="3"/>
        <v>30</v>
      </c>
    </row>
    <row r="36" spans="1:7" x14ac:dyDescent="0.25">
      <c r="A36">
        <v>35</v>
      </c>
      <c r="B36" s="1">
        <f t="shared" si="1"/>
        <v>4.4469578419825098</v>
      </c>
      <c r="C36" s="1">
        <f t="shared" si="2"/>
        <v>5</v>
      </c>
      <c r="D36" s="2">
        <f>A36^ROUNDUP(B36,0)</f>
        <v>52521875</v>
      </c>
      <c r="E36">
        <f>LOG((A36),2)</f>
        <v>5.1292830169449664</v>
      </c>
      <c r="F36">
        <f t="shared" si="0"/>
        <v>6</v>
      </c>
      <c r="G36">
        <f t="shared" si="3"/>
        <v>30</v>
      </c>
    </row>
    <row r="37" spans="1:7" x14ac:dyDescent="0.25">
      <c r="A37">
        <v>36</v>
      </c>
      <c r="B37" s="1">
        <f t="shared" si="1"/>
        <v>4.4119992707026974</v>
      </c>
      <c r="C37" s="1">
        <f t="shared" si="2"/>
        <v>5</v>
      </c>
      <c r="D37" s="2">
        <f>A37^ROUNDUP(B37,0)</f>
        <v>60466176</v>
      </c>
      <c r="E37">
        <f>LOG((A37),2)</f>
        <v>5.1699250014423122</v>
      </c>
      <c r="F37">
        <f t="shared" si="0"/>
        <v>6</v>
      </c>
      <c r="G37">
        <f t="shared" si="3"/>
        <v>30</v>
      </c>
    </row>
    <row r="38" spans="1:7" x14ac:dyDescent="0.25">
      <c r="A38">
        <v>37</v>
      </c>
      <c r="B38" s="1">
        <f t="shared" si="1"/>
        <v>4.3785218400159831</v>
      </c>
      <c r="C38" s="1">
        <f t="shared" si="2"/>
        <v>5</v>
      </c>
      <c r="D38" s="2">
        <f>A38^ROUNDUP(B38,0)</f>
        <v>69343957</v>
      </c>
      <c r="E38">
        <f>LOG((A38),2)</f>
        <v>5.2094533656289501</v>
      </c>
      <c r="F38">
        <f t="shared" si="0"/>
        <v>6</v>
      </c>
      <c r="G38">
        <f t="shared" si="3"/>
        <v>30</v>
      </c>
    </row>
    <row r="39" spans="1:7" x14ac:dyDescent="0.25">
      <c r="A39">
        <v>38</v>
      </c>
      <c r="B39" s="1">
        <f t="shared" si="1"/>
        <v>4.3464215688039962</v>
      </c>
      <c r="C39" s="1">
        <f t="shared" si="2"/>
        <v>5</v>
      </c>
      <c r="D39" s="2">
        <f>A39^ROUNDUP(B39,0)</f>
        <v>79235168</v>
      </c>
      <c r="E39">
        <f>LOG((A39),2)</f>
        <v>5.2479275134435852</v>
      </c>
      <c r="F39">
        <f t="shared" si="0"/>
        <v>6</v>
      </c>
      <c r="G39">
        <f t="shared" si="3"/>
        <v>30</v>
      </c>
    </row>
    <row r="40" spans="1:7" x14ac:dyDescent="0.25">
      <c r="A40">
        <v>39</v>
      </c>
      <c r="B40" s="1">
        <f t="shared" si="1"/>
        <v>4.3156044500358215</v>
      </c>
      <c r="C40" s="1">
        <f t="shared" si="2"/>
        <v>5</v>
      </c>
      <c r="D40" s="2">
        <f>A40^ROUNDUP(B40,0)</f>
        <v>90224199</v>
      </c>
      <c r="E40">
        <f>LOG((A40),2)</f>
        <v>5.2854022188622487</v>
      </c>
      <c r="F40">
        <f t="shared" si="0"/>
        <v>6</v>
      </c>
      <c r="G40">
        <f t="shared" si="3"/>
        <v>30</v>
      </c>
    </row>
    <row r="41" spans="1:7" x14ac:dyDescent="0.25">
      <c r="A41">
        <v>40</v>
      </c>
      <c r="B41" s="1">
        <f t="shared" si="1"/>
        <v>4.2859852537022833</v>
      </c>
      <c r="C41" s="1">
        <f t="shared" si="2"/>
        <v>5</v>
      </c>
      <c r="D41" s="2">
        <f>A41^ROUNDUP(B41,0)</f>
        <v>102400000</v>
      </c>
      <c r="E41">
        <f>LOG((A41),2)</f>
        <v>5.3219280948873626</v>
      </c>
      <c r="F41">
        <f t="shared" si="0"/>
        <v>6</v>
      </c>
      <c r="G41">
        <f t="shared" si="3"/>
        <v>30</v>
      </c>
    </row>
    <row r="42" spans="1:7" x14ac:dyDescent="0.25">
      <c r="A42">
        <v>41</v>
      </c>
      <c r="B42" s="1">
        <f t="shared" si="1"/>
        <v>4.2574865006050695</v>
      </c>
      <c r="C42" s="1">
        <f t="shared" si="2"/>
        <v>5</v>
      </c>
      <c r="D42" s="2">
        <f>A42^ROUNDUP(B42,0)</f>
        <v>115856201</v>
      </c>
      <c r="E42">
        <f>LOG((A42),2)</f>
        <v>5.3575520046180838</v>
      </c>
      <c r="F42">
        <f t="shared" si="0"/>
        <v>6</v>
      </c>
      <c r="G42">
        <f t="shared" si="3"/>
        <v>30</v>
      </c>
    </row>
    <row r="43" spans="1:7" x14ac:dyDescent="0.25">
      <c r="A43">
        <v>42</v>
      </c>
      <c r="B43" s="1">
        <f t="shared" si="1"/>
        <v>4.2300375789444642</v>
      </c>
      <c r="C43" s="1">
        <f t="shared" si="2"/>
        <v>5</v>
      </c>
      <c r="D43" s="2">
        <f>A43^ROUNDUP(B43,0)</f>
        <v>130691232</v>
      </c>
      <c r="E43">
        <f>LOG((A43),2)</f>
        <v>5.3923174227787607</v>
      </c>
      <c r="F43">
        <f t="shared" si="0"/>
        <v>6</v>
      </c>
      <c r="G43">
        <f t="shared" si="3"/>
        <v>30</v>
      </c>
    </row>
    <row r="44" spans="1:7" x14ac:dyDescent="0.25">
      <c r="A44">
        <v>43</v>
      </c>
      <c r="B44" s="1">
        <f t="shared" si="1"/>
        <v>4.2035739808282493</v>
      </c>
      <c r="C44" s="1">
        <f t="shared" si="2"/>
        <v>5</v>
      </c>
      <c r="D44" s="2">
        <f>A44^ROUNDUP(B44,0)</f>
        <v>147008443</v>
      </c>
      <c r="E44">
        <f>LOG((A44),2)</f>
        <v>5.4262647547020979</v>
      </c>
      <c r="F44">
        <f t="shared" si="0"/>
        <v>6</v>
      </c>
      <c r="G44">
        <f t="shared" si="3"/>
        <v>30</v>
      </c>
    </row>
    <row r="45" spans="1:7" x14ac:dyDescent="0.25">
      <c r="A45">
        <v>44</v>
      </c>
      <c r="B45" s="1">
        <f t="shared" si="1"/>
        <v>4.1780366399468791</v>
      </c>
      <c r="C45" s="1">
        <f t="shared" si="2"/>
        <v>5</v>
      </c>
      <c r="D45" s="2">
        <f>A45^ROUNDUP(B45,0)</f>
        <v>164916224</v>
      </c>
      <c r="E45">
        <f>LOG((A45),2)</f>
        <v>5.4594316186372973</v>
      </c>
      <c r="F45">
        <f t="shared" si="0"/>
        <v>6</v>
      </c>
      <c r="G45">
        <f t="shared" si="3"/>
        <v>30</v>
      </c>
    </row>
    <row r="46" spans="1:7" x14ac:dyDescent="0.25">
      <c r="A46">
        <v>45</v>
      </c>
      <c r="B46" s="1">
        <f t="shared" si="1"/>
        <v>4.1533713549612878</v>
      </c>
      <c r="C46" s="1">
        <f t="shared" si="2"/>
        <v>5</v>
      </c>
      <c r="D46" s="2">
        <f>A46^ROUNDUP(B46,0)</f>
        <v>184528125</v>
      </c>
      <c r="E46">
        <f>LOG((A46),2)</f>
        <v>5.4918530963296748</v>
      </c>
      <c r="F46">
        <f t="shared" si="0"/>
        <v>6</v>
      </c>
      <c r="G46">
        <f t="shared" si="3"/>
        <v>30</v>
      </c>
    </row>
    <row r="47" spans="1:7" x14ac:dyDescent="0.25">
      <c r="A47">
        <v>46</v>
      </c>
      <c r="B47" s="1">
        <f t="shared" si="1"/>
        <v>4.1295282858081306</v>
      </c>
      <c r="C47" s="1">
        <f t="shared" si="2"/>
        <v>5</v>
      </c>
      <c r="D47" s="2">
        <f>A47^ROUNDUP(B47,0)</f>
        <v>205962976</v>
      </c>
      <c r="E47">
        <f>LOG((A47),2)</f>
        <v>5.5235619560570131</v>
      </c>
      <c r="F47">
        <f t="shared" si="0"/>
        <v>6</v>
      </c>
      <c r="G47">
        <f t="shared" si="3"/>
        <v>30</v>
      </c>
    </row>
    <row r="48" spans="1:7" x14ac:dyDescent="0.25">
      <c r="A48">
        <v>47</v>
      </c>
      <c r="B48" s="1">
        <f t="shared" si="1"/>
        <v>4.1064615122795223</v>
      </c>
      <c r="C48" s="1">
        <f t="shared" si="2"/>
        <v>5</v>
      </c>
      <c r="D48" s="2">
        <f>A48^ROUNDUP(B48,0)</f>
        <v>229345007</v>
      </c>
      <c r="E48">
        <f>LOG((A48),2)</f>
        <v>5.5545888516776376</v>
      </c>
      <c r="F48">
        <f t="shared" si="0"/>
        <v>6</v>
      </c>
      <c r="G48">
        <f t="shared" si="3"/>
        <v>30</v>
      </c>
    </row>
    <row r="49" spans="1:7" x14ac:dyDescent="0.25">
      <c r="A49">
        <v>48</v>
      </c>
      <c r="B49" s="1">
        <f t="shared" si="1"/>
        <v>4.0841286459856851</v>
      </c>
      <c r="C49" s="1">
        <f t="shared" si="2"/>
        <v>5</v>
      </c>
      <c r="D49" s="2">
        <f>A49^ROUNDUP(B49,0)</f>
        <v>254803968</v>
      </c>
      <c r="E49">
        <f>LOG((A49),2)</f>
        <v>5.584962500721157</v>
      </c>
      <c r="F49">
        <f t="shared" si="0"/>
        <v>6</v>
      </c>
      <c r="G49">
        <f t="shared" si="3"/>
        <v>30</v>
      </c>
    </row>
    <row r="50" spans="1:7" x14ac:dyDescent="0.25">
      <c r="A50">
        <v>49</v>
      </c>
      <c r="B50" s="1">
        <f t="shared" si="1"/>
        <v>4.0624904882409965</v>
      </c>
      <c r="C50" s="1">
        <f t="shared" si="2"/>
        <v>5</v>
      </c>
      <c r="D50" s="2">
        <f>A50^ROUNDUP(B50,0)</f>
        <v>282475249</v>
      </c>
      <c r="E50">
        <f>LOG((A50),2)</f>
        <v>5.6147098441152083</v>
      </c>
      <c r="F50">
        <f t="shared" si="0"/>
        <v>6</v>
      </c>
      <c r="G50">
        <f t="shared" si="3"/>
        <v>30</v>
      </c>
    </row>
    <row r="51" spans="1:7" x14ac:dyDescent="0.25">
      <c r="A51">
        <v>50</v>
      </c>
      <c r="B51" s="1">
        <f t="shared" si="1"/>
        <v>4.0415107275902393</v>
      </c>
      <c r="C51" s="1">
        <f t="shared" si="2"/>
        <v>5</v>
      </c>
      <c r="D51" s="2">
        <f>A51^ROUNDUP(B51,0)</f>
        <v>312500000</v>
      </c>
      <c r="E51">
        <f>LOG((A51),2)</f>
        <v>5.6438561897747244</v>
      </c>
      <c r="F51">
        <f t="shared" si="0"/>
        <v>6</v>
      </c>
      <c r="G51">
        <f t="shared" si="3"/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LICENCIAS LABORATORIOS</dc:creator>
  <cp:lastModifiedBy>ADMINISTRACIÓN LICENCIAS LABORATORIOS</cp:lastModifiedBy>
  <dcterms:created xsi:type="dcterms:W3CDTF">2026-06-22T15:10:42Z</dcterms:created>
  <dcterms:modified xsi:type="dcterms:W3CDTF">2026-06-22T16:41:46Z</dcterms:modified>
</cp:coreProperties>
</file>